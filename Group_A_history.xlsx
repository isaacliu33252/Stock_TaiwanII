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Stock_taiwan2-main\Stock_taiwan2-main\"/>
    </mc:Choice>
  </mc:AlternateContent>
  <xr:revisionPtr revIDLastSave="0" documentId="13_ncr:1_{CABF2F2E-2C72-43A9-9CD0-4D15C1CFC1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91029"/>
</workbook>
</file>

<file path=xl/calcChain.xml><?xml version="1.0" encoding="utf-8"?>
<calcChain xmlns="http://schemas.openxmlformats.org/spreadsheetml/2006/main">
  <c r="T7" i="1" l="1"/>
  <c r="T5" i="1"/>
</calcChain>
</file>

<file path=xl/sharedStrings.xml><?xml version="1.0" encoding="utf-8"?>
<sst xmlns="http://schemas.openxmlformats.org/spreadsheetml/2006/main" count="29" uniqueCount="18">
  <si>
    <t>Group A</t>
  </si>
  <si>
    <t>賣</t>
  </si>
  <si>
    <t>買</t>
  </si>
  <si>
    <t>總價</t>
  </si>
  <si>
    <t>元大台灣50 
0050</t>
  </si>
  <si>
    <t>價格</t>
  </si>
  <si>
    <t>元大台灣50正2
00631L</t>
  </si>
  <si>
    <t xml:space="preserve">
元大50反1
00632R</t>
  </si>
  <si>
    <t>2026/5/30 實際</t>
  </si>
  <si>
    <t>2026/06/01 FinRL目標</t>
  </si>
  <si>
    <t>總資金</t>
    <phoneticPr fontId="1" type="noConversion"/>
  </si>
  <si>
    <t>2026/6/1 實際</t>
    <phoneticPr fontId="1" type="noConversion"/>
  </si>
  <si>
    <t>2026/06/02 FinRL目標</t>
    <phoneticPr fontId="1" type="noConversion"/>
  </si>
  <si>
    <t>2026/6/2 實際</t>
    <phoneticPr fontId="1" type="noConversion"/>
  </si>
  <si>
    <t>2026/06/03 FinRL目標</t>
    <phoneticPr fontId="1" type="noConversion"/>
  </si>
  <si>
    <t>2026/6/3 實際</t>
    <phoneticPr fontId="1" type="noConversion"/>
  </si>
  <si>
    <t>2026/6/4 實際</t>
    <phoneticPr fontId="1" type="noConversion"/>
  </si>
  <si>
    <t>2026/06/05 FinRL目標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</si>
</sst>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2" fillId="0" borderId="0" xfId="1" applyNumberFormat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0" xfId="0" applyAlignment="1"/>
    <xf numFmtId="2" fontId="2" fillId="0" borderId="0" xfId="1" applyNumberFormat="1" applyAlignment="1">
      <alignment vertical="center" wrapText="1"/>
    </xf>
    <xf numFmtId="3" fontId="0" fillId="0" borderId="0" xfId="0" applyNumberFormat="1" applyAlignment="1"/>
    <xf numFmtId="3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/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T12" sqref="T12"/>
    </sheetView>
  </sheetViews>
  <sheetFormatPr defaultRowHeight="17"/>
  <cols>
    <col min="1" max="1" width="26.36328125" style="7" customWidth="1"/>
    <col min="2" max="2" width="4.7265625" style="7" customWidth="1"/>
    <col min="3" max="4" width="12.26953125" style="7" customWidth="1"/>
    <col min="7" max="7" width="12.08984375" style="7" customWidth="1"/>
    <col min="8" max="8" width="4.08984375" style="7" customWidth="1"/>
    <col min="9" max="10" width="12.08984375" style="7" customWidth="1"/>
    <col min="12" max="13" width="11.1796875" style="7" customWidth="1"/>
    <col min="14" max="14" width="5.6328125" style="7" customWidth="1"/>
    <col min="15" max="15" width="5.54296875" style="7" customWidth="1"/>
    <col min="16" max="16" width="11.1796875" style="7" customWidth="1"/>
    <col min="20" max="20" width="13.36328125" customWidth="1"/>
  </cols>
  <sheetData>
    <row r="1" spans="1:20">
      <c r="E1" s="11" t="s">
        <v>0</v>
      </c>
      <c r="F1" s="11"/>
      <c r="G1" s="12"/>
      <c r="H1" s="12"/>
      <c r="I1" s="12"/>
      <c r="J1" s="12"/>
      <c r="K1" s="11"/>
      <c r="L1" s="12"/>
      <c r="M1" s="12"/>
      <c r="N1" s="12"/>
      <c r="O1" s="12"/>
      <c r="P1" s="12"/>
      <c r="Q1" s="11"/>
    </row>
    <row r="2" spans="1:20" ht="68" customHeight="1">
      <c r="B2" t="s">
        <v>1</v>
      </c>
      <c r="C2" t="s">
        <v>2</v>
      </c>
      <c r="D2" s="1" t="s">
        <v>3</v>
      </c>
      <c r="E2" s="1" t="s">
        <v>4</v>
      </c>
      <c r="F2" s="1" t="s">
        <v>5</v>
      </c>
      <c r="G2" s="1" t="s">
        <v>3</v>
      </c>
      <c r="H2" s="1" t="s">
        <v>1</v>
      </c>
      <c r="I2" s="1" t="s">
        <v>2</v>
      </c>
      <c r="J2" s="1" t="s">
        <v>3</v>
      </c>
      <c r="K2" s="2" t="s">
        <v>6</v>
      </c>
      <c r="L2" s="1" t="s">
        <v>5</v>
      </c>
      <c r="M2" s="1" t="s">
        <v>3</v>
      </c>
      <c r="N2" s="1" t="s">
        <v>1</v>
      </c>
      <c r="O2" s="1" t="s">
        <v>2</v>
      </c>
      <c r="P2" s="1" t="s">
        <v>3</v>
      </c>
      <c r="Q2" s="2" t="s">
        <v>7</v>
      </c>
      <c r="R2" s="1" t="s">
        <v>5</v>
      </c>
      <c r="S2" s="1" t="s">
        <v>3</v>
      </c>
      <c r="T2" s="1" t="s">
        <v>10</v>
      </c>
    </row>
    <row r="4" spans="1:20">
      <c r="A4" s="3" t="s">
        <v>8</v>
      </c>
      <c r="B4" s="3"/>
      <c r="C4" s="3"/>
      <c r="D4" s="3"/>
      <c r="E4">
        <v>89</v>
      </c>
      <c r="F4">
        <v>105.4</v>
      </c>
      <c r="G4">
        <v>9380.6</v>
      </c>
      <c r="K4">
        <v>0</v>
      </c>
      <c r="L4">
        <v>36.94</v>
      </c>
      <c r="M4">
        <v>0</v>
      </c>
      <c r="Q4">
        <v>0</v>
      </c>
      <c r="R4">
        <v>10.35</v>
      </c>
      <c r="S4">
        <v>0</v>
      </c>
    </row>
    <row r="5" spans="1:20">
      <c r="A5" t="s">
        <v>9</v>
      </c>
      <c r="C5" s="4">
        <v>5554</v>
      </c>
      <c r="D5">
        <v>-585392</v>
      </c>
      <c r="E5" s="5">
        <v>6232</v>
      </c>
      <c r="F5" s="8">
        <v>105.4</v>
      </c>
      <c r="G5" s="5"/>
      <c r="H5" s="5"/>
      <c r="I5" s="6">
        <v>3342</v>
      </c>
      <c r="J5" s="2">
        <v>-111780</v>
      </c>
      <c r="K5" s="6">
        <v>3342</v>
      </c>
      <c r="L5" s="8">
        <v>36.94</v>
      </c>
      <c r="M5" s="5"/>
      <c r="N5" s="5"/>
      <c r="O5" s="5">
        <v>0</v>
      </c>
      <c r="P5" s="5">
        <v>0</v>
      </c>
      <c r="Q5" s="6">
        <v>0</v>
      </c>
      <c r="R5" s="8">
        <v>10.35</v>
      </c>
      <c r="S5" s="4"/>
      <c r="T5">
        <f>D5+J5+P5</f>
        <v>-697172</v>
      </c>
    </row>
    <row r="6" spans="1:20">
      <c r="A6" s="3" t="s">
        <v>11</v>
      </c>
      <c r="C6" s="7">
        <v>83</v>
      </c>
      <c r="D6" s="7">
        <v>-8851</v>
      </c>
      <c r="E6">
        <v>172</v>
      </c>
      <c r="F6">
        <v>105.5</v>
      </c>
      <c r="G6" s="7">
        <v>18146</v>
      </c>
    </row>
    <row r="7" spans="1:20">
      <c r="A7" t="s">
        <v>12</v>
      </c>
      <c r="C7" s="7">
        <v>5440</v>
      </c>
      <c r="D7" s="7">
        <v>-573920</v>
      </c>
      <c r="E7">
        <v>5612</v>
      </c>
      <c r="I7" s="7">
        <v>3194</v>
      </c>
      <c r="J7" s="9">
        <v>-120669</v>
      </c>
      <c r="T7" s="10">
        <f>D7+J7</f>
        <v>-694589</v>
      </c>
    </row>
    <row r="8" spans="1:20">
      <c r="A8" s="3" t="s">
        <v>13</v>
      </c>
      <c r="C8" s="7">
        <v>80</v>
      </c>
      <c r="D8" s="7">
        <v>-8456</v>
      </c>
      <c r="E8">
        <v>252</v>
      </c>
      <c r="F8">
        <v>105.55</v>
      </c>
      <c r="G8" s="7">
        <v>26597</v>
      </c>
    </row>
    <row r="9" spans="1:20">
      <c r="A9" t="s">
        <v>14</v>
      </c>
      <c r="C9" s="9">
        <v>5393</v>
      </c>
      <c r="D9" s="9">
        <v>-570040</v>
      </c>
      <c r="E9" s="10">
        <v>5645</v>
      </c>
      <c r="I9" s="9">
        <v>3217</v>
      </c>
      <c r="J9" s="9">
        <v>-121956</v>
      </c>
    </row>
    <row r="10" spans="1:20">
      <c r="A10" s="3" t="s">
        <v>15</v>
      </c>
      <c r="C10" s="7">
        <v>80</v>
      </c>
      <c r="D10" s="7">
        <v>-8612</v>
      </c>
      <c r="E10">
        <v>332</v>
      </c>
      <c r="F10">
        <v>107.5</v>
      </c>
      <c r="G10" s="7">
        <v>35773</v>
      </c>
    </row>
    <row r="11" spans="1:20">
      <c r="A11" s="3" t="s">
        <v>16</v>
      </c>
      <c r="C11" s="7">
        <v>160</v>
      </c>
      <c r="D11" s="7">
        <v>-17048</v>
      </c>
      <c r="E11">
        <v>492</v>
      </c>
      <c r="F11" s="7">
        <v>106.1</v>
      </c>
      <c r="G11" s="7">
        <v>52201</v>
      </c>
    </row>
    <row r="12" spans="1:20">
      <c r="A12" t="s">
        <v>17</v>
      </c>
      <c r="C12" s="7">
        <v>4978</v>
      </c>
      <c r="D12" s="9">
        <v>-528166</v>
      </c>
      <c r="E12" s="10">
        <v>5470</v>
      </c>
      <c r="K12" s="10">
        <v>3123</v>
      </c>
      <c r="L12" s="7">
        <v>38.299999999999997</v>
      </c>
      <c r="M12" s="9">
        <v>119611</v>
      </c>
      <c r="T12" s="10">
        <v>-648700</v>
      </c>
    </row>
  </sheetData>
  <mergeCells count="1">
    <mergeCell ref="E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祐忠 劉</dc:creator>
  <cp:lastModifiedBy>祐忠 劉</cp:lastModifiedBy>
  <dcterms:created xsi:type="dcterms:W3CDTF">2026-05-31T06:12:58Z</dcterms:created>
  <dcterms:modified xsi:type="dcterms:W3CDTF">2026-06-04T10:36:28Z</dcterms:modified>
</cp:coreProperties>
</file>